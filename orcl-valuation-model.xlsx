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" sheetId="2" state="visible" r:id="rId4"/>
    <sheet name="Sensitivity" sheetId="3" state="visible" r:id="rId5"/>
    <sheet name="SOTP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<sst xmlns="http://schemas.openxmlformats.org/spreadsheetml/2006/main" count="181" uniqueCount="169">
  <si>
    <t xml:space="preserve">Oracle Corporation (NYSE: ORCL)</t>
  </si>
  <si>
    <t xml:space="preserve">Discounted Cash Flow Model - Assumptions</t>
  </si>
  <si>
    <t xml:space="preserve">All figures in $ millions unless noted. Fiscal year ends May 31.</t>
  </si>
  <si>
    <t xml:space="preserve">LEGEND</t>
  </si>
  <si>
    <t xml:space="preserve">Blue text = input you can change</t>
  </si>
  <si>
    <t xml:space="preserve">Black text = formula, do not overwrite</t>
  </si>
  <si>
    <t xml:space="preserve">Green text = pulled from another tab</t>
  </si>
  <si>
    <t xml:space="preserve">Yellow fill = key driver, sanity check before presenting</t>
  </si>
  <si>
    <t xml:space="preserve">MARKET DATA</t>
  </si>
  <si>
    <t xml:space="preserve">Source / note</t>
  </si>
  <si>
    <t xml:space="preserve">Share price ($)</t>
  </si>
  <si>
    <t xml:space="preserve">Update to live price on the day you present</t>
  </si>
  <si>
    <t xml:space="preserve">Shares outstanding (mm)</t>
  </si>
  <si>
    <t xml:space="preserve">10-Q cover page, as of Sept 7 2026</t>
  </si>
  <si>
    <t xml:space="preserve">Market capitalisation</t>
  </si>
  <si>
    <t xml:space="preserve">Price x shares</t>
  </si>
  <si>
    <t xml:space="preserve">BALANCE SHEET BRIDGE (as of Aug 31 2026)</t>
  </si>
  <si>
    <t xml:space="preserve">Notes payable and other borrowings - current</t>
  </si>
  <si>
    <t xml:space="preserve">10-Q balance sheet</t>
  </si>
  <si>
    <t xml:space="preserve">Notes payable and other borrowings - non-current</t>
  </si>
  <si>
    <t xml:space="preserve">Total debt</t>
  </si>
  <si>
    <t xml:space="preserve">Sum of the two lines above</t>
  </si>
  <si>
    <t xml:space="preserve">Cash and cash equivalents</t>
  </si>
  <si>
    <t xml:space="preserve">Marketable securities</t>
  </si>
  <si>
    <t xml:space="preserve">Net debt</t>
  </si>
  <si>
    <t xml:space="preserve">Total debt less cash and securities</t>
  </si>
  <si>
    <t xml:space="preserve">Preferred stock (6.50% Series D)</t>
  </si>
  <si>
    <t xml:space="preserve">Operating lease liabilities</t>
  </si>
  <si>
    <t xml:space="preserve">10-Q Note 6</t>
  </si>
  <si>
    <t xml:space="preserve">Finance lease liabilities</t>
  </si>
  <si>
    <t xml:space="preserve">Total lease liabilities</t>
  </si>
  <si>
    <t xml:space="preserve">Deducted from EV - data centre leases are the business</t>
  </si>
  <si>
    <t xml:space="preserve">DISCOUNT RATE</t>
  </si>
  <si>
    <t xml:space="preserve">Risk-free rate</t>
  </si>
  <si>
    <t xml:space="preserve">10-year Treasury - update on the day</t>
  </si>
  <si>
    <t xml:space="preserve">Equity risk premium</t>
  </si>
  <si>
    <t xml:space="preserve">Standard market assumption</t>
  </si>
  <si>
    <t xml:space="preserve">Beta</t>
  </si>
  <si>
    <t xml:space="preserve">5Y monthly. Has risen sharply through the 2026 de-rating</t>
  </si>
  <si>
    <t xml:space="preserve">Cost of equity</t>
  </si>
  <si>
    <t xml:space="preserve">Rf + Beta x ERP (CAPM)</t>
  </si>
  <si>
    <t xml:space="preserve">Pre-tax cost of debt</t>
  </si>
  <si>
    <t xml:space="preserve">Reflects BBB- rating. Senior notes carried at $125.0bn trade at $105.7bn fair value, implying a market cost above coupon</t>
  </si>
  <si>
    <t xml:space="preserve">After-tax cost of debt</t>
  </si>
  <si>
    <t xml:space="preserve">Pre-tax x (1 - tax rate)</t>
  </si>
  <si>
    <t xml:space="preserve">Equity weight</t>
  </si>
  <si>
    <t xml:space="preserve">Market cap / (market cap + total debt)</t>
  </si>
  <si>
    <t xml:space="preserve">Debt weight</t>
  </si>
  <si>
    <t xml:space="preserve">1 - equity weight</t>
  </si>
  <si>
    <t xml:space="preserve">WACC</t>
  </si>
  <si>
    <t xml:space="preserve">Weighted average. Sensitivity tab flexes this</t>
  </si>
  <si>
    <t xml:space="preserve">OPERATING ASSUMPTIONS</t>
  </si>
  <si>
    <t xml:space="preserve">Base year revenue - FY26A</t>
  </si>
  <si>
    <t xml:space="preserve">FY26 actual, approximate. Verify against the FY26 10-K</t>
  </si>
  <si>
    <t xml:space="preserve">Tax rate</t>
  </si>
  <si>
    <t xml:space="preserve">Q1 FY27 effective rate, 10-Q Note 8</t>
  </si>
  <si>
    <t xml:space="preserve">Useful life of new capex (years)</t>
  </si>
  <si>
    <t xml:space="preserve">10-Q Note 3: servers and networking equipment, six-year estimated life</t>
  </si>
  <si>
    <t xml:space="preserve">D&amp;A on assets already in place</t>
  </si>
  <si>
    <t xml:space="preserve">Q1 depreciation $3,156mm + intangible amortisation $202mm, annualised</t>
  </si>
  <si>
    <t xml:space="preserve">Change in NWC as % of change in revenue</t>
  </si>
  <si>
    <t xml:space="preserve">NEGATIVE = source of cash. Deferred revenue rose from $15.4bn to $30.8bn in Q1 as customers prepaid, so working capital funds the business</t>
  </si>
  <si>
    <t xml:space="preserve">Terminal exit multiple (EV / EBIT)</t>
  </si>
  <si>
    <t xml:space="preserve">EBIT not EBITDA: D&amp;A is the whole debate here, and an EBITDA multiple would add it back and flatter the business</t>
  </si>
  <si>
    <t xml:space="preserve">REVENUE AND MARGIN DRIVERS BY YEAR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</si>
  <si>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</si>
  <si>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</si>
  <si>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</si>
  <si>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</si>
  <si>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</si>
  <si>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Stable business revenue ($mm)</t>
  </si>
  <si>
    <t xml:space="preserve">FY27 input = Q1 FY27 annualised (software licence + support + cloud apps + hardware + services = $11,957mm x 4). Later years use the growth rate below.</t>
  </si>
  <si>
    <t xml:space="preserve">  growth %</t>
  </si>
  <si>
    <t xml:space="preserve">Software support fell only 1% YoY, so treat the legacy base as a sticky annuity</t>
  </si>
  <si>
    <t xml:space="preserve">Cloud infrastructure (OCI) revenue ($mm)</t>
  </si>
  <si>
    <t xml:space="preserve">FY27 input backs into management's &gt;=$90bn total revenue guidance less the stable business</t>
  </si>
  <si>
    <t xml:space="preserve">Decelerating. RPO conversion schedule (13% next 12m, 37% months 13-36, 34% months 37-60) implies roughly $86bn, then ~$123bn/yr, then ~$113bn/yr from existing backlog</t>
  </si>
  <si>
    <t xml:space="preserve">EBIT margin %</t>
  </si>
  <si>
    <t xml:space="preserve">Q1 FY27 GAAP operating margin was 35% (up from 29%). Modest expansion as capacity utilises</t>
  </si>
  <si>
    <t xml:space="preserve">Capital expenditure ($mm)</t>
  </si>
  <si>
    <t xml:space="preserve">FY27 = midpoint of $90-95bn guidance. Ramps down until it roughly equals D&amp;A by FY31 - if terminal capex exceeds terminal D&amp;A the terminal value is overstated</t>
  </si>
  <si>
    <t xml:space="preserve">Oracle Corporation - Discounted Cash Flow</t>
  </si>
  <si>
    <t xml:space="preserve">$ millions. Fiscal year ends May 31. Black cells are formulas - edit inputs on the Assumptions tab.</t>
  </si>
  <si>
    <t xml:space="preserve">FY26A</t>
  </si>
  <si>
    <t xml:space="preserve">Stable business revenue</t>
  </si>
  <si>
    <t xml:space="preserve">Cloud infrastructure (OCI) revenue</t>
  </si>
  <si>
    <t xml:space="preserve">Total revenue</t>
  </si>
  <si>
    <t xml:space="preserve">  % growth</t>
  </si>
  <si>
    <t xml:space="preserve">EBIT margin</t>
  </si>
  <si>
    <t xml:space="preserve">EBIT</t>
  </si>
  <si>
    <t xml:space="preserve">Less: taxes at effective rate</t>
  </si>
  <si>
    <t xml:space="preserve">NOPAT (tax-effected EBIT)</t>
  </si>
  <si>
    <t xml:space="preserve">Plus: depreciation and amortisation</t>
  </si>
  <si>
    <t xml:space="preserve">Less: capital expenditure</t>
  </si>
  <si>
    <t xml:space="preserve">Less: change in net working capital</t>
  </si>
  <si>
    <t xml:space="preserve">Unlevered free cash flow</t>
  </si>
  <si>
    <t xml:space="preserve">Discount period (mid-year convention not used)</t>
  </si>
  <si>
    <t xml:space="preserve">Discount factor</t>
  </si>
  <si>
    <t xml:space="preserve">PV of unlevered free cash flow</t>
  </si>
  <si>
    <t xml:space="preserve">TERMINAL VALUE AND EQUITY BRIDGE</t>
  </si>
  <si>
    <t xml:space="preserve">FY31E EBIT</t>
  </si>
  <si>
    <t xml:space="preserve">Exit multiple (EV / EBIT)</t>
  </si>
  <si>
    <t xml:space="preserve">Terminal value at FY31</t>
  </si>
  <si>
    <t xml:space="preserve">PV of terminal value</t>
  </si>
  <si>
    <t xml:space="preserve">PV of forecast period cash flows</t>
  </si>
  <si>
    <t xml:space="preserve">Enterprise value</t>
  </si>
  <si>
    <t xml:space="preserve">  Terminal value as % of enterprise value</t>
  </si>
  <si>
    <t xml:space="preserve">Name this number before anyone asks. Free cash flow is negative into FY28, so nearly all the value sits in the terminal year.</t>
  </si>
  <si>
    <t xml:space="preserve">Less: net debt</t>
  </si>
  <si>
    <t xml:space="preserve">Less: preferred stock</t>
  </si>
  <si>
    <t xml:space="preserve">Less: lease liabilities</t>
  </si>
  <si>
    <t xml:space="preserve">Equity value</t>
  </si>
  <si>
    <t xml:space="preserve">Implied value per share</t>
  </si>
  <si>
    <t xml:space="preserve">Current share price</t>
  </si>
  <si>
    <t xml:space="preserve">Implied upside / (downside)</t>
  </si>
  <si>
    <t xml:space="preserve">Sensitivity - implied value per share</t>
  </si>
  <si>
    <t xml:space="preserve">WACC down the side, exit EV/EBIT multiple across the top. Recomputes the full DCF in each cell.</t>
  </si>
  <si>
    <t xml:space="preserve">WACC \ Exit multiple</t>
  </si>
  <si>
    <t xml:space="preserve">Grid is centred on the WACC the Assumptions tab computes (~11.7%, driven by the 1.7 beta). Highlighted cell is closest to the base case.</t>
  </si>
  <si>
    <t xml:space="preserve">Read the range, not the point estimate. This spread is the honest answer to 'how confident are you?'</t>
  </si>
  <si>
    <t xml:space="preserve">Sum of the Parts - what are you paying for OCI?</t>
  </si>
  <si>
    <t xml:space="preserve">Back out the stable business at a conservative multiple and see what the market implies for cloud infrastructure plus the backlog.</t>
  </si>
  <si>
    <t xml:space="preserve">STABLE BUSINESS (Q1 FY27 actuals, annualised)</t>
  </si>
  <si>
    <t xml:space="preserve">Q1 FY27</t>
  </si>
  <si>
    <t xml:space="preserve">Annualised</t>
  </si>
  <si>
    <t xml:space="preserve">Software licence</t>
  </si>
  <si>
    <t xml:space="preserve">Software support</t>
  </si>
  <si>
    <t xml:space="preserve">Cloud applications (SaaS)</t>
  </si>
  <si>
    <t xml:space="preserve">Hardware</t>
  </si>
  <si>
    <t xml:space="preserve">Services</t>
  </si>
  <si>
    <t xml:space="preserve">Total stable revenue</t>
  </si>
  <si>
    <t xml:space="preserve">Source: 10-Q revenue-by-offering tables, quarter ended Aug 31 2026</t>
  </si>
  <si>
    <t xml:space="preserve">Multiple applied (EV / revenue)</t>
  </si>
  <si>
    <t xml:space="preserve">Conservative for a high-margin annuity. Software support declined only 1% YoY.</t>
  </si>
  <si>
    <t xml:space="preserve">Implied value of stable business</t>
  </si>
  <si>
    <t xml:space="preserve">IMPLIED VALUE OF CLOUD INFRASTRUCTURE</t>
  </si>
  <si>
    <t xml:space="preserve">Enterprise value (incl. leases)</t>
  </si>
  <si>
    <t xml:space="preserve">Less: value of stable business</t>
  </si>
  <si>
    <t xml:space="preserve">Implied value of OCI + backlog</t>
  </si>
  <si>
    <t xml:space="preserve">SANITY CHECKS</t>
  </si>
  <si>
    <t xml:space="preserve">OCI revenue, Q1 FY27 annualised</t>
  </si>
  <si>
    <t xml:space="preserve">Implied EV / OCI revenue</t>
  </si>
  <si>
    <t xml:space="preserve">For a business that grew 121% year over year</t>
  </si>
  <si>
    <t xml:space="preserve">Remaining performance obligations</t>
  </si>
  <si>
    <t xml:space="preserve">10-Q Note 1. Up from $455bn a year ago.</t>
  </si>
  <si>
    <t xml:space="preserve">Implied value as % of contracted backlog</t>
  </si>
  <si>
    <t xml:space="preserve">This is the money line. State it out loud in the pitch.</t>
  </si>
  <si>
    <t xml:space="preserve">Valuation Summary</t>
  </si>
  <si>
    <t xml:space="preserve">Three methods. Your target should sit where they overlap, not on whichever is highest.</t>
  </si>
  <si>
    <t xml:space="preserve">Method</t>
  </si>
  <si>
    <t xml:space="preserve">Implied price</t>
  </si>
  <si>
    <t xml:space="preserve">Upside</t>
  </si>
  <si>
    <t xml:space="preserve">How you defend it in one sentence</t>
  </si>
  <si>
    <t xml:space="preserve">Forward P/E - 20x</t>
  </si>
  <si>
    <t xml:space="preserve">Still a discount to Microsoft at 26x and Alphabet at 22x despite faster growth.</t>
  </si>
  <si>
    <t xml:space="preserve">Forward P/E - 22x</t>
  </si>
  <si>
    <t xml:space="preserve">Parity with Alphabet. FY27 guidance is $8.10 of adjusted EPS.</t>
  </si>
  <si>
    <t xml:space="preserve">Discounted cash flow</t>
  </si>
  <si>
    <t xml:space="preserve">Terminal-heavy by construction, so weight it alongside the others rather than leading with it.</t>
  </si>
  <si>
    <t xml:space="preserve">Sum of the parts</t>
  </si>
  <si>
    <t xml:space="preserve">Not a price target - it shows what you are paying for the backlog. Quote the % of face value.</t>
  </si>
  <si>
    <t xml:space="preserve">Street consensus</t>
  </si>
  <si>
    <t xml:space="preserve">Landing below consensus signals you priced the concentration and leverage risk yourself.</t>
  </si>
  <si>
    <t xml:space="preserve">YOUR TARGET</t>
  </si>
  <si>
    <t xml:space="preserve">Set this yourself once you have looked at the range above.</t>
  </si>
  <si>
    <t xml:space="preserve">IF THEY ASK WHY THE DCF IS TERMINAL-HEAVY</t>
  </si>
  <si>
    <t xml:space="preserve">Say: free cash flow is negative through FY28 because Oracle is spending $90-95bn of capex against</t>
  </si>
  <si>
    <t xml:space="preserve">contracted revenue, so almost all the value lands in the terminal year. That means the output is really</t>
  </si>
  <si>
    <t xml:space="preserve">my exit multiple. That is why I weight the comps and the sum of the parts equally rather than leading with the DCF.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</si>
</sst>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#,##0;\(#,##0\);\-"/>
    <numFmt numFmtId="167" formatCode="\$#,##0;&quot;($&quot;#,##0\);\-"/>
    <numFmt numFmtId="168" formatCode="0.0%"/>
    <numFmt numFmtId="169" formatCode="0.00"/>
    <numFmt numFmtId="170" formatCode="0"/>
    <numFmt numFmtId="171" formatCode="0.0\x"/>
    <numFmt numFmtId="172" formatCode="0.0"/>
    <numFmt numFmtId="173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u val="singl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4"/>
    <col collapsed="false" customWidth="true" hidden="false" outlineLevel="0" max="8" min="8" style="0" width="5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</row>
    <row r="9" customFormat="false" ht="15" hidden="false" customHeight="false" outlineLevel="0" collapsed="false">
      <c r="B9" s="7" t="s">
        <v>6</v>
      </c>
    </row>
    <row r="10" customFormat="false" ht="15" hidden="false" customHeight="false" outlineLevel="0" collapsed="false">
      <c r="B10" s="8" t="s">
        <v>7</v>
      </c>
    </row>
    <row r="12" customFormat="false" ht="15" hidden="false" customHeight="false" outlineLevel="0" collapsed="false">
      <c r="B12" s="4" t="s">
        <v>8</v>
      </c>
      <c r="H12" s="4" t="s">
        <v>9</v>
      </c>
    </row>
    <row r="13" customFormat="false" ht="15" hidden="false" customHeight="false" outlineLevel="0" collapsed="false">
      <c r="B13" s="6" t="s">
        <v>10</v>
      </c>
      <c r="C13" s="9" t="n">
        <v>147</v>
      </c>
      <c r="H13" s="3" t="s">
        <v>11</v>
      </c>
    </row>
    <row r="14" customFormat="false" ht="15" hidden="false" customHeight="false" outlineLevel="0" collapsed="false">
      <c r="B14" s="6" t="s">
        <v>12</v>
      </c>
      <c r="C14" s="10" t="n">
        <v>3023.736</v>
      </c>
      <c r="H14" s="3" t="s">
        <v>13</v>
      </c>
    </row>
    <row r="15" customFormat="false" ht="15" hidden="false" customHeight="false" outlineLevel="0" collapsed="false">
      <c r="B15" s="6" t="s">
        <v>14</v>
      </c>
      <c r="C15" s="11" t="n">
        <f aca="false">C13*C14</f>
        <v>444489.192</v>
      </c>
      <c r="H15" s="3" t="s">
        <v>15</v>
      </c>
    </row>
    <row r="17" customFormat="false" ht="15" hidden="false" customHeight="false" outlineLevel="0" collapsed="false">
      <c r="B17" s="4" t="s">
        <v>16</v>
      </c>
    </row>
    <row r="18" customFormat="false" ht="15" hidden="false" customHeight="false" outlineLevel="0" collapsed="false">
      <c r="B18" s="6" t="s">
        <v>17</v>
      </c>
      <c r="C18" s="12" t="n">
        <v>7625</v>
      </c>
      <c r="H18" s="3" t="s">
        <v>18</v>
      </c>
    </row>
    <row r="19" customFormat="false" ht="15" hidden="false" customHeight="false" outlineLevel="0" collapsed="false">
      <c r="B19" s="6" t="s">
        <v>19</v>
      </c>
      <c r="C19" s="12" t="n">
        <v>117712</v>
      </c>
      <c r="H19" s="3" t="s">
        <v>18</v>
      </c>
    </row>
    <row r="20" customFormat="false" ht="15" hidden="false" customHeight="false" outlineLevel="0" collapsed="false">
      <c r="B20" s="13" t="s">
        <v>20</v>
      </c>
      <c r="C20" s="14" t="n">
        <f aca="false">SUM(C18:C19)</f>
        <v>125337</v>
      </c>
      <c r="H20" s="3" t="s">
        <v>21</v>
      </c>
    </row>
    <row r="21" customFormat="false" ht="15" hidden="false" customHeight="false" outlineLevel="0" collapsed="false">
      <c r="B21" s="6" t="s">
        <v>22</v>
      </c>
      <c r="C21" s="12" t="n">
        <v>36369</v>
      </c>
      <c r="H21" s="3" t="s">
        <v>18</v>
      </c>
    </row>
    <row r="22" customFormat="false" ht="15" hidden="false" customHeight="false" outlineLevel="0" collapsed="false">
      <c r="B22" s="6" t="s">
        <v>23</v>
      </c>
      <c r="C22" s="12" t="n">
        <v>708</v>
      </c>
      <c r="H22" s="3" t="s">
        <v>18</v>
      </c>
    </row>
    <row r="23" customFormat="false" ht="15" hidden="false" customHeight="false" outlineLevel="0" collapsed="false">
      <c r="B23" s="13" t="s">
        <v>24</v>
      </c>
      <c r="C23" s="14" t="n">
        <f aca="false">C20-C21-C22</f>
        <v>88260</v>
      </c>
      <c r="H23" s="3" t="s">
        <v>25</v>
      </c>
    </row>
    <row r="24" customFormat="false" ht="15" hidden="false" customHeight="false" outlineLevel="0" collapsed="false">
      <c r="B24" s="6" t="s">
        <v>26</v>
      </c>
      <c r="C24" s="12" t="n">
        <v>4954</v>
      </c>
      <c r="H24" s="3" t="s">
        <v>18</v>
      </c>
    </row>
    <row r="25" customFormat="false" ht="15" hidden="false" customHeight="false" outlineLevel="0" collapsed="false">
      <c r="B25" s="6" t="s">
        <v>27</v>
      </c>
      <c r="C25" s="12" t="n">
        <v>34621</v>
      </c>
      <c r="H25" s="3" t="s">
        <v>28</v>
      </c>
    </row>
    <row r="26" customFormat="false" ht="15" hidden="false" customHeight="false" outlineLevel="0" collapsed="false">
      <c r="B26" s="6" t="s">
        <v>29</v>
      </c>
      <c r="C26" s="12" t="n">
        <v>9185</v>
      </c>
      <c r="H26" s="3" t="s">
        <v>28</v>
      </c>
    </row>
    <row r="27" customFormat="false" ht="15" hidden="false" customHeight="false" outlineLevel="0" collapsed="false">
      <c r="B27" s="13" t="s">
        <v>30</v>
      </c>
      <c r="C27" s="14" t="n">
        <f aca="false">SUM(C25:C26)</f>
        <v>43806</v>
      </c>
      <c r="H27" s="3" t="s">
        <v>31</v>
      </c>
    </row>
    <row r="29" customFormat="false" ht="15" hidden="false" customHeight="false" outlineLevel="0" collapsed="false">
      <c r="B29" s="4" t="s">
        <v>32</v>
      </c>
    </row>
    <row r="30" customFormat="false" ht="15" hidden="false" customHeight="false" outlineLevel="0" collapsed="false">
      <c r="B30" s="6" t="s">
        <v>33</v>
      </c>
      <c r="C30" s="15" t="n">
        <v>0.042</v>
      </c>
      <c r="H30" s="3" t="s">
        <v>34</v>
      </c>
    </row>
    <row r="31" customFormat="false" ht="15" hidden="false" customHeight="false" outlineLevel="0" collapsed="false">
      <c r="B31" s="6" t="s">
        <v>35</v>
      </c>
      <c r="C31" s="15" t="n">
        <v>0.055</v>
      </c>
      <c r="H31" s="3" t="s">
        <v>36</v>
      </c>
    </row>
    <row r="32" customFormat="false" ht="15" hidden="false" customHeight="false" outlineLevel="0" collapsed="false">
      <c r="B32" s="6" t="s">
        <v>37</v>
      </c>
      <c r="C32" s="16" t="n">
        <v>1.7</v>
      </c>
      <c r="H32" s="3" t="s">
        <v>38</v>
      </c>
    </row>
    <row r="33" customFormat="false" ht="15" hidden="false" customHeight="false" outlineLevel="0" collapsed="false">
      <c r="B33" s="6" t="s">
        <v>39</v>
      </c>
      <c r="C33" s="17" t="n">
        <f aca="false">C30+C32*C31</f>
        <v>0.1355</v>
      </c>
      <c r="H33" s="3" t="s">
        <v>40</v>
      </c>
    </row>
    <row r="34" customFormat="false" ht="15" hidden="false" customHeight="false" outlineLevel="0" collapsed="false">
      <c r="B34" s="6" t="s">
        <v>41</v>
      </c>
      <c r="C34" s="15" t="n">
        <v>0.062</v>
      </c>
      <c r="H34" s="3" t="s">
        <v>42</v>
      </c>
    </row>
    <row r="35" customFormat="false" ht="15" hidden="false" customHeight="false" outlineLevel="0" collapsed="false">
      <c r="B35" s="6" t="s">
        <v>43</v>
      </c>
      <c r="C35" s="17" t="n">
        <f aca="false">C34*(1-C42)</f>
        <v>0.052638</v>
      </c>
      <c r="H35" s="3" t="s">
        <v>44</v>
      </c>
    </row>
    <row r="36" customFormat="false" ht="15" hidden="false" customHeight="false" outlineLevel="0" collapsed="false">
      <c r="B36" s="6" t="s">
        <v>45</v>
      </c>
      <c r="C36" s="17" t="n">
        <f aca="false">C15/(C15+C20)</f>
        <v>0.780043455777126</v>
      </c>
      <c r="H36" s="3" t="s">
        <v>46</v>
      </c>
    </row>
    <row r="37" customFormat="false" ht="15" hidden="false" customHeight="false" outlineLevel="0" collapsed="false">
      <c r="B37" s="6" t="s">
        <v>47</v>
      </c>
      <c r="C37" s="17" t="n">
        <f aca="false">1-C36</f>
        <v>0.219956544222874</v>
      </c>
      <c r="H37" s="3" t="s">
        <v>48</v>
      </c>
    </row>
    <row r="38" customFormat="false" ht="15" hidden="false" customHeight="false" outlineLevel="0" collapsed="false">
      <c r="B38" s="13" t="s">
        <v>49</v>
      </c>
      <c r="C38" s="18" t="n">
        <f aca="false">C36*C33+C37*C35</f>
        <v>0.117273960832604</v>
      </c>
      <c r="H38" s="3" t="s">
        <v>50</v>
      </c>
    </row>
    <row r="40" customFormat="false" ht="15" hidden="false" customHeight="false" outlineLevel="0" collapsed="false">
      <c r="B40" s="4" t="s">
        <v>51</v>
      </c>
    </row>
    <row r="41" customFormat="false" ht="15" hidden="false" customHeight="false" outlineLevel="0" collapsed="false">
      <c r="B41" s="6" t="s">
        <v>52</v>
      </c>
      <c r="C41" s="12" t="n">
        <v>67400</v>
      </c>
      <c r="H41" s="3" t="s">
        <v>53</v>
      </c>
    </row>
    <row r="42" customFormat="false" ht="15" hidden="false" customHeight="false" outlineLevel="0" collapsed="false">
      <c r="B42" s="6" t="s">
        <v>54</v>
      </c>
      <c r="C42" s="15" t="n">
        <v>0.151</v>
      </c>
      <c r="H42" s="3" t="s">
        <v>55</v>
      </c>
    </row>
    <row r="43" customFormat="false" ht="15" hidden="false" customHeight="false" outlineLevel="0" collapsed="false">
      <c r="B43" s="6" t="s">
        <v>56</v>
      </c>
      <c r="C43" s="19" t="n">
        <v>6</v>
      </c>
      <c r="H43" s="3" t="s">
        <v>57</v>
      </c>
    </row>
    <row r="44" customFormat="false" ht="15" hidden="false" customHeight="false" outlineLevel="0" collapsed="false">
      <c r="B44" s="6" t="s">
        <v>58</v>
      </c>
      <c r="C44" s="12" t="n">
        <v>13400</v>
      </c>
      <c r="H44" s="3" t="s">
        <v>59</v>
      </c>
    </row>
    <row r="45" customFormat="false" ht="15" hidden="false" customHeight="false" outlineLevel="0" collapsed="false">
      <c r="B45" s="6" t="s">
        <v>60</v>
      </c>
      <c r="C45" s="20" t="n">
        <v>-0.2</v>
      </c>
      <c r="H45" s="3" t="s">
        <v>61</v>
      </c>
    </row>
    <row r="46" customFormat="false" ht="15" hidden="false" customHeight="false" outlineLevel="0" collapsed="false">
      <c r="B46" s="6" t="s">
        <v>62</v>
      </c>
      <c r="C46" s="21" t="n">
        <v>18</v>
      </c>
      <c r="H46" s="3" t="s">
        <v>63</v>
      </c>
    </row>
    <row r="48" customFormat="false" ht="15" hidden="false" customHeight="false" outlineLevel="0" collapsed="false">
      <c r="B48" s="4" t="s">
        <v>64</v>
      </c>
    </row>
    <row r="49" customFormat="false" ht="15" hidden="false" customHeight="false" outlineLevel="0" collapsed="false">
      <c r="B49" s="6"/>
      <c r="C49" s="22" t="s">
        <v>65</v>
      </c>
      <c r="D49" s="22" t="s">
        <v>66</v>
      </c>
      <c r="E49" s="22" t="s">
        <v>67</v>
      </c>
      <c r="F49" s="22" t="s">
        <v>68</v>
      </c>
      <c r="G49" s="22" t="s">
        <v>69</v>
      </c>
    </row>
    <row r="50" customFormat="false" ht="15" hidden="false" customHeight="false" outlineLevel="0" collapsed="false">
      <c r="B50" s="6" t="s">
        <v>70</v>
      </c>
      <c r="C50" s="12" t="n">
        <v>48000</v>
      </c>
      <c r="H50" s="3" t="s">
        <v>71</v>
      </c>
    </row>
    <row r="51" customFormat="false" ht="15" hidden="false" customHeight="false" outlineLevel="0" collapsed="false">
      <c r="B51" s="6" t="s">
        <v>72</v>
      </c>
      <c r="C51" s="23"/>
      <c r="D51" s="15" t="n">
        <v>0.03</v>
      </c>
      <c r="E51" s="15" t="n">
        <v>0.03</v>
      </c>
      <c r="F51" s="15" t="n">
        <v>0.03</v>
      </c>
      <c r="G51" s="15" t="n">
        <v>0.03</v>
      </c>
      <c r="H51" s="3" t="s">
        <v>73</v>
      </c>
    </row>
    <row r="52" customFormat="false" ht="15" hidden="false" customHeight="false" outlineLevel="0" collapsed="false">
      <c r="B52" s="6" t="s">
        <v>74</v>
      </c>
      <c r="C52" s="24" t="n">
        <v>42000</v>
      </c>
      <c r="H52" s="3" t="s">
        <v>75</v>
      </c>
    </row>
    <row r="53" customFormat="false" ht="15" hidden="false" customHeight="false" outlineLevel="0" collapsed="false">
      <c r="B53" s="6" t="s">
        <v>72</v>
      </c>
      <c r="C53" s="23"/>
      <c r="D53" s="20" t="n">
        <v>0.44</v>
      </c>
      <c r="E53" s="20" t="n">
        <v>0.27</v>
      </c>
      <c r="F53" s="20" t="n">
        <v>0.16</v>
      </c>
      <c r="G53" s="20" t="n">
        <v>0.09</v>
      </c>
      <c r="H53" s="3" t="s">
        <v>76</v>
      </c>
    </row>
    <row r="54" customFormat="false" ht="15" hidden="false" customHeight="false" outlineLevel="0" collapsed="false">
      <c r="B54" s="6" t="s">
        <v>77</v>
      </c>
      <c r="C54" s="15" t="n">
        <v>0.35</v>
      </c>
      <c r="D54" s="15" t="n">
        <v>0.36</v>
      </c>
      <c r="E54" s="15" t="n">
        <v>0.37</v>
      </c>
      <c r="F54" s="15" t="n">
        <v>0.38</v>
      </c>
      <c r="G54" s="15" t="n">
        <v>0.38</v>
      </c>
      <c r="H54" s="3" t="s">
        <v>78</v>
      </c>
    </row>
    <row r="55" customFormat="false" ht="15" hidden="false" customHeight="false" outlineLevel="0" collapsed="false">
      <c r="B55" s="6" t="s">
        <v>79</v>
      </c>
      <c r="C55" s="24" t="n">
        <v>92000</v>
      </c>
      <c r="D55" s="12" t="n">
        <v>78000</v>
      </c>
      <c r="E55" s="12" t="n">
        <v>62000</v>
      </c>
      <c r="F55" s="12" t="n">
        <v>55000</v>
      </c>
      <c r="G55" s="12" t="n">
        <v>55000</v>
      </c>
      <c r="H55" s="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4"/>
    <col collapsed="false" customWidth="true" hidden="false" outlineLevel="0" max="9" min="9" style="0" width="60"/>
  </cols>
  <sheetData>
    <row r="2" customFormat="false" ht="17.35" hidden="false" customHeight="false" outlineLevel="0" collapsed="false">
      <c r="B2" s="1" t="s">
        <v>81</v>
      </c>
    </row>
    <row r="3" customFormat="false" ht="15" hidden="false" customHeight="false" outlineLevel="0" collapsed="false">
      <c r="B3" s="2" t="s">
        <v>82</v>
      </c>
    </row>
    <row r="5" customFormat="false" ht="15" hidden="false" customHeight="false" outlineLevel="0" collapsed="false">
      <c r="B5" s="13"/>
      <c r="C5" s="22" t="s">
        <v>83</v>
      </c>
      <c r="D5" s="22" t="s">
        <v>65</v>
      </c>
      <c r="E5" s="22" t="s">
        <v>66</v>
      </c>
      <c r="F5" s="22" t="s">
        <v>67</v>
      </c>
      <c r="G5" s="22" t="s">
        <v>68</v>
      </c>
      <c r="H5" s="22" t="s">
        <v>69</v>
      </c>
    </row>
    <row r="7" customFormat="false" ht="15" hidden="false" customHeight="false" outlineLevel="0" collapsed="false">
      <c r="B7" s="6" t="s">
        <v>84</v>
      </c>
      <c r="C7" s="25"/>
      <c r="D7" s="26" t="n">
        <f aca="false">Assumptions!C50</f>
        <v>48000</v>
      </c>
      <c r="E7" s="11" t="n">
        <f aca="false">D7*(1+Assumptions!D51)</f>
        <v>49440</v>
      </c>
      <c r="F7" s="11" t="n">
        <f aca="false">E7*(1+Assumptions!E51)</f>
        <v>50923.2</v>
      </c>
      <c r="G7" s="11" t="n">
        <f aca="false">F7*(1+Assumptions!F51)</f>
        <v>52450.896</v>
      </c>
      <c r="H7" s="11" t="n">
        <f aca="false">G7*(1+Assumptions!G51)</f>
        <v>54024.42288</v>
      </c>
    </row>
    <row r="8" customFormat="false" ht="15" hidden="false" customHeight="false" outlineLevel="0" collapsed="false">
      <c r="B8" s="6" t="s">
        <v>85</v>
      </c>
      <c r="C8" s="25"/>
      <c r="D8" s="26" t="n">
        <f aca="false">Assumptions!C52</f>
        <v>42000</v>
      </c>
      <c r="E8" s="11" t="n">
        <f aca="false">D8*(1+Assumptions!D53)</f>
        <v>60480</v>
      </c>
      <c r="F8" s="11" t="n">
        <f aca="false">E8*(1+Assumptions!E53)</f>
        <v>76809.6</v>
      </c>
      <c r="G8" s="11" t="n">
        <f aca="false">F8*(1+Assumptions!F53)</f>
        <v>89099.136</v>
      </c>
      <c r="H8" s="11" t="n">
        <f aca="false">G8*(1+Assumptions!G53)</f>
        <v>97118.05824</v>
      </c>
    </row>
    <row r="9" customFormat="false" ht="15" hidden="false" customHeight="false" outlineLevel="0" collapsed="false">
      <c r="B9" s="13" t="s">
        <v>86</v>
      </c>
      <c r="C9" s="27" t="n">
        <f aca="false">Assumptions!$C$41</f>
        <v>67400</v>
      </c>
      <c r="D9" s="28" t="n">
        <f aca="false">D7+D8</f>
        <v>90000</v>
      </c>
      <c r="E9" s="28" t="n">
        <f aca="false">E7+E8</f>
        <v>109920</v>
      </c>
      <c r="F9" s="28" t="n">
        <f aca="false">F7+F8</f>
        <v>127732.8</v>
      </c>
      <c r="G9" s="28" t="n">
        <f aca="false">G7+G8</f>
        <v>141550.032</v>
      </c>
      <c r="H9" s="28" t="n">
        <f aca="false">H7+H8</f>
        <v>151142.48112</v>
      </c>
    </row>
    <row r="10" customFormat="false" ht="15" hidden="false" customHeight="false" outlineLevel="0" collapsed="false">
      <c r="B10" s="6" t="s">
        <v>87</v>
      </c>
      <c r="D10" s="17" t="n">
        <f aca="false">D9/C9-1</f>
        <v>0.335311572700297</v>
      </c>
      <c r="E10" s="17" t="n">
        <f aca="false">E9/D9-1</f>
        <v>0.221333333333333</v>
      </c>
      <c r="F10" s="17" t="n">
        <f aca="false">F9/E9-1</f>
        <v>0.162052401746725</v>
      </c>
      <c r="G10" s="17" t="n">
        <f aca="false">G9/F9-1</f>
        <v>0.108172936003908</v>
      </c>
      <c r="H10" s="17" t="n">
        <f aca="false">H9/G9-1</f>
        <v>0.0677671985266666</v>
      </c>
    </row>
    <row r="12" customFormat="false" ht="15" hidden="false" customHeight="false" outlineLevel="0" collapsed="false">
      <c r="B12" s="6" t="s">
        <v>88</v>
      </c>
      <c r="D12" s="29" t="n">
        <f aca="false">Assumptions!C54</f>
        <v>0.35</v>
      </c>
      <c r="E12" s="29" t="n">
        <f aca="false">Assumptions!D54</f>
        <v>0.36</v>
      </c>
      <c r="F12" s="29" t="n">
        <f aca="false">Assumptions!E54</f>
        <v>0.37</v>
      </c>
      <c r="G12" s="29" t="n">
        <f aca="false">Assumptions!F54</f>
        <v>0.38</v>
      </c>
      <c r="H12" s="29" t="n">
        <f aca="false">Assumptions!G54</f>
        <v>0.38</v>
      </c>
    </row>
    <row r="13" customFormat="false" ht="15" hidden="false" customHeight="false" outlineLevel="0" collapsed="false">
      <c r="B13" s="6" t="s">
        <v>89</v>
      </c>
      <c r="C13" s="25"/>
      <c r="D13" s="11" t="n">
        <f aca="false">D9*D12</f>
        <v>31500</v>
      </c>
      <c r="E13" s="11" t="n">
        <f aca="false">E9*E12</f>
        <v>39571.2</v>
      </c>
      <c r="F13" s="11" t="n">
        <f aca="false">F9*F12</f>
        <v>47261.136</v>
      </c>
      <c r="G13" s="11" t="n">
        <f aca="false">G9*G12</f>
        <v>53789.01216</v>
      </c>
      <c r="H13" s="11" t="n">
        <f aca="false">H9*H12</f>
        <v>57434.1428256</v>
      </c>
    </row>
    <row r="14" customFormat="false" ht="15" hidden="false" customHeight="false" outlineLevel="0" collapsed="false">
      <c r="B14" s="6" t="s">
        <v>90</v>
      </c>
      <c r="C14" s="25"/>
      <c r="D14" s="11" t="n">
        <f aca="false">-D13*Assumptions!$C$42</f>
        <v>-4756.5</v>
      </c>
      <c r="E14" s="11" t="n">
        <f aca="false">-E13*Assumptions!$C$42</f>
        <v>-5975.2512</v>
      </c>
      <c r="F14" s="11" t="n">
        <f aca="false">-F13*Assumptions!$C$42</f>
        <v>-7136.431536</v>
      </c>
      <c r="G14" s="11" t="n">
        <f aca="false">-G13*Assumptions!$C$42</f>
        <v>-8122.14083616</v>
      </c>
      <c r="H14" s="11" t="n">
        <f aca="false">-H13*Assumptions!$C$42</f>
        <v>-8672.5555666656</v>
      </c>
    </row>
    <row r="15" customFormat="false" ht="15" hidden="false" customHeight="false" outlineLevel="0" collapsed="false">
      <c r="B15" s="13" t="s">
        <v>91</v>
      </c>
      <c r="C15" s="25"/>
      <c r="D15" s="28" t="n">
        <f aca="false">D13+D14</f>
        <v>26743.5</v>
      </c>
      <c r="E15" s="28" t="n">
        <f aca="false">E13+E14</f>
        <v>33595.9488</v>
      </c>
      <c r="F15" s="28" t="n">
        <f aca="false">F13+F14</f>
        <v>40124.704464</v>
      </c>
      <c r="G15" s="28" t="n">
        <f aca="false">G13+G14</f>
        <v>45666.87132384</v>
      </c>
      <c r="H15" s="28" t="n">
        <f aca="false">H13+H14</f>
        <v>48761.5872589344</v>
      </c>
    </row>
    <row r="17" customFormat="false" ht="15" hidden="false" customHeight="false" outlineLevel="0" collapsed="false">
      <c r="B17" s="6" t="s">
        <v>92</v>
      </c>
      <c r="C17" s="25"/>
      <c r="D17" s="11" t="n">
        <f aca="false">Assumptions!$C$44</f>
        <v>13400</v>
      </c>
      <c r="E17" s="11" t="n">
        <f aca="false">Assumptions!$C$44+SUM($D$18:D18)/Assumptions!$C$43</f>
        <v>28733.3333333333</v>
      </c>
      <c r="F17" s="11" t="n">
        <f aca="false">Assumptions!$C$44+SUM($D$18:E18)/Assumptions!$C$43</f>
        <v>41733.3333333333</v>
      </c>
      <c r="G17" s="11" t="n">
        <f aca="false">Assumptions!$C$44+SUM($D$18:F18)/Assumptions!$C$43</f>
        <v>52066.6666666667</v>
      </c>
      <c r="H17" s="11" t="n">
        <f aca="false">Assumptions!$C$44+SUM($D$18:G18)/Assumptions!$C$43</f>
        <v>61233.3333333333</v>
      </c>
    </row>
    <row r="18" customFormat="false" ht="15" hidden="false" customHeight="false" outlineLevel="0" collapsed="false">
      <c r="B18" s="6" t="s">
        <v>93</v>
      </c>
      <c r="C18" s="25"/>
      <c r="D18" s="26" t="n">
        <f aca="false">Assumptions!C55</f>
        <v>92000</v>
      </c>
      <c r="E18" s="26" t="n">
        <f aca="false">Assumptions!D55</f>
        <v>78000</v>
      </c>
      <c r="F18" s="26" t="n">
        <f aca="false">Assumptions!E55</f>
        <v>62000</v>
      </c>
      <c r="G18" s="26" t="n">
        <f aca="false">Assumptions!F55</f>
        <v>55000</v>
      </c>
      <c r="H18" s="26" t="n">
        <f aca="false">Assumptions!G55</f>
        <v>55000</v>
      </c>
    </row>
    <row r="19" customFormat="false" ht="15" hidden="false" customHeight="false" outlineLevel="0" collapsed="false">
      <c r="B19" s="6" t="s">
        <v>94</v>
      </c>
      <c r="C19" s="25"/>
      <c r="D19" s="11" t="n">
        <f aca="false">-(D9-C9)*Assumptions!$C$45</f>
        <v>4520</v>
      </c>
      <c r="E19" s="11" t="n">
        <f aca="false">-(E9-D9)*Assumptions!$C$45</f>
        <v>3984</v>
      </c>
      <c r="F19" s="11" t="n">
        <f aca="false">-(F9-E9)*Assumptions!$C$45</f>
        <v>3562.56</v>
      </c>
      <c r="G19" s="11" t="n">
        <f aca="false">-(G9-F9)*Assumptions!$C$45</f>
        <v>2763.4464</v>
      </c>
      <c r="H19" s="11" t="n">
        <f aca="false">-(H9-G9)*Assumptions!$C$45</f>
        <v>1918.489824</v>
      </c>
    </row>
    <row r="20" customFormat="false" ht="15" hidden="false" customHeight="false" outlineLevel="0" collapsed="false">
      <c r="B20" s="13" t="s">
        <v>95</v>
      </c>
      <c r="C20" s="25"/>
      <c r="D20" s="30" t="n">
        <f aca="false">D15+D17-D18+D19</f>
        <v>-47336.5</v>
      </c>
      <c r="E20" s="30" t="n">
        <f aca="false">E15+E17-E18+E19</f>
        <v>-11686.7178666667</v>
      </c>
      <c r="F20" s="30" t="n">
        <f aca="false">F15+F17-F18+F19</f>
        <v>23420.5977973333</v>
      </c>
      <c r="G20" s="30" t="n">
        <f aca="false">G15+G17-G18+G19</f>
        <v>45496.9843905067</v>
      </c>
      <c r="H20" s="30" t="n">
        <f aca="false">H15+H17-H18+H19</f>
        <v>56913.4104162677</v>
      </c>
    </row>
    <row r="22" customFormat="false" ht="15" hidden="false" customHeight="false" outlineLevel="0" collapsed="false">
      <c r="B22" s="6" t="s">
        <v>96</v>
      </c>
      <c r="D22" s="31" t="n">
        <v>1</v>
      </c>
      <c r="E22" s="31" t="n">
        <v>2</v>
      </c>
      <c r="F22" s="31" t="n">
        <v>3</v>
      </c>
      <c r="G22" s="31" t="n">
        <v>4</v>
      </c>
      <c r="H22" s="31" t="n">
        <v>5</v>
      </c>
    </row>
    <row r="23" customFormat="false" ht="15" hidden="false" customHeight="false" outlineLevel="0" collapsed="false">
      <c r="B23" s="6" t="s">
        <v>97</v>
      </c>
      <c r="D23" s="32" t="n">
        <f aca="false">1/(1+Assumptions!$C$38)^D22</f>
        <v>0.895035626942196</v>
      </c>
      <c r="E23" s="32" t="n">
        <f aca="false">1/(1+Assumptions!$C$38)^E22</f>
        <v>0.801088773495809</v>
      </c>
      <c r="F23" s="32" t="n">
        <f aca="false">1/(1+Assumptions!$C$38)^F22</f>
        <v>0.717002992622176</v>
      </c>
      <c r="G23" s="32" t="n">
        <f aca="false">1/(1+Assumptions!$C$38)^G22</f>
        <v>0.64174322302102</v>
      </c>
      <c r="H23" s="32" t="n">
        <f aca="false">1/(1+Assumptions!$C$38)^H22</f>
        <v>0.574383047952524</v>
      </c>
    </row>
    <row r="24" customFormat="false" ht="15" hidden="false" customHeight="false" outlineLevel="0" collapsed="false">
      <c r="B24" s="6" t="s">
        <v>98</v>
      </c>
      <c r="C24" s="25"/>
      <c r="D24" s="11" t="n">
        <f aca="false">D20*D23</f>
        <v>-42367.8539547492</v>
      </c>
      <c r="E24" s="11" t="n">
        <f aca="false">E20*E23</f>
        <v>-9362.09848199956</v>
      </c>
      <c r="F24" s="11" t="n">
        <f aca="false">F20*F23</f>
        <v>16792.6387096883</v>
      </c>
      <c r="G24" s="11" t="n">
        <f aca="false">G20*G23</f>
        <v>29197.3814005008</v>
      </c>
      <c r="H24" s="11" t="n">
        <f aca="false">H20*H23</f>
        <v>32690.0981442688</v>
      </c>
    </row>
    <row r="27" customFormat="false" ht="15" hidden="false" customHeight="false" outlineLevel="0" collapsed="false">
      <c r="B27" s="4" t="s">
        <v>99</v>
      </c>
    </row>
    <row r="28" customFormat="false" ht="15" hidden="false" customHeight="false" outlineLevel="0" collapsed="false">
      <c r="B28" s="6" t="s">
        <v>100</v>
      </c>
      <c r="C28" s="11" t="n">
        <f aca="false">H13</f>
        <v>57434.1428256</v>
      </c>
    </row>
    <row r="29" customFormat="false" ht="15" hidden="false" customHeight="false" outlineLevel="0" collapsed="false">
      <c r="B29" s="6" t="s">
        <v>101</v>
      </c>
      <c r="C29" s="33" t="n">
        <f aca="false">Assumptions!$C$46</f>
        <v>18</v>
      </c>
    </row>
    <row r="30" customFormat="false" ht="15" hidden="false" customHeight="false" outlineLevel="0" collapsed="false">
      <c r="B30" s="6" t="s">
        <v>102</v>
      </c>
      <c r="C30" s="11" t="n">
        <f aca="false">C28*C29</f>
        <v>1033814.5708608</v>
      </c>
    </row>
    <row r="31" customFormat="false" ht="15" hidden="false" customHeight="false" outlineLevel="0" collapsed="false">
      <c r="B31" s="6" t="s">
        <v>103</v>
      </c>
      <c r="C31" s="11" t="n">
        <f aca="false">C30*H23</f>
        <v>593805.564228757</v>
      </c>
    </row>
    <row r="32" customFormat="false" ht="15" hidden="false" customHeight="false" outlineLevel="0" collapsed="false">
      <c r="B32" s="6" t="s">
        <v>104</v>
      </c>
      <c r="C32" s="11" t="n">
        <f aca="false">SUM(D24:H24)</f>
        <v>26950.1658177091</v>
      </c>
    </row>
    <row r="33" customFormat="false" ht="15" hidden="false" customHeight="false" outlineLevel="0" collapsed="false">
      <c r="B33" s="13" t="s">
        <v>105</v>
      </c>
      <c r="C33" s="28" t="n">
        <f aca="false">C31+C32</f>
        <v>620755.730046466</v>
      </c>
    </row>
    <row r="34" customFormat="false" ht="15" hidden="false" customHeight="false" outlineLevel="0" collapsed="false">
      <c r="B34" s="6" t="s">
        <v>106</v>
      </c>
      <c r="C34" s="34" t="n">
        <f aca="false">C31/C33</f>
        <v>0.956584910113207</v>
      </c>
      <c r="H34" s="3" t="s">
        <v>107</v>
      </c>
    </row>
    <row r="35" customFormat="false" ht="15" hidden="false" customHeight="false" outlineLevel="0" collapsed="false">
      <c r="B35" s="6" t="s">
        <v>108</v>
      </c>
      <c r="C35" s="11" t="n">
        <f aca="false">-Assumptions!$C$23</f>
        <v>-88260</v>
      </c>
    </row>
    <row r="36" customFormat="false" ht="15" hidden="false" customHeight="false" outlineLevel="0" collapsed="false">
      <c r="B36" s="6" t="s">
        <v>109</v>
      </c>
      <c r="C36" s="11" t="n">
        <f aca="false">-Assumptions!$C$24</f>
        <v>-4954</v>
      </c>
    </row>
    <row r="37" customFormat="false" ht="15" hidden="false" customHeight="false" outlineLevel="0" collapsed="false">
      <c r="B37" s="6" t="s">
        <v>110</v>
      </c>
      <c r="C37" s="11" t="n">
        <f aca="false">-Assumptions!$C$27</f>
        <v>-43806</v>
      </c>
    </row>
    <row r="38" customFormat="false" ht="15" hidden="false" customHeight="false" outlineLevel="0" collapsed="false">
      <c r="B38" s="13" t="s">
        <v>111</v>
      </c>
      <c r="C38" s="28" t="n">
        <f aca="false">C33+SUM(C35:C37)</f>
        <v>483735.730046466</v>
      </c>
    </row>
    <row r="39" customFormat="false" ht="15" hidden="false" customHeight="false" outlineLevel="0" collapsed="false">
      <c r="B39" s="6" t="s">
        <v>12</v>
      </c>
      <c r="C39" s="35" t="n">
        <f aca="false">Assumptions!$C$14</f>
        <v>3023.736</v>
      </c>
    </row>
    <row r="40" customFormat="false" ht="15" hidden="false" customHeight="false" outlineLevel="0" collapsed="false">
      <c r="B40" s="13" t="s">
        <v>112</v>
      </c>
      <c r="C40" s="36" t="n">
        <f aca="false">C38/C39</f>
        <v>159.979485658294</v>
      </c>
    </row>
    <row r="41" customFormat="false" ht="15" hidden="false" customHeight="false" outlineLevel="0" collapsed="false">
      <c r="B41" s="6" t="s">
        <v>113</v>
      </c>
      <c r="C41" s="37" t="n">
        <f aca="false">Assumptions!$C$13</f>
        <v>147</v>
      </c>
    </row>
    <row r="42" customFormat="false" ht="15" hidden="false" customHeight="false" outlineLevel="0" collapsed="false">
      <c r="B42" s="13" t="s">
        <v>114</v>
      </c>
      <c r="C42" s="38" t="n">
        <f aca="false">C40/C41-1</f>
        <v>0.0882958208047189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3"/>
  </cols>
  <sheetData>
    <row r="2" customFormat="false" ht="17.35" hidden="false" customHeight="false" outlineLevel="0" collapsed="false">
      <c r="B2" s="1" t="s">
        <v>115</v>
      </c>
    </row>
    <row r="3" customFormat="false" ht="15" hidden="false" customHeight="false" outlineLevel="0" collapsed="false">
      <c r="B3" s="2" t="s">
        <v>116</v>
      </c>
    </row>
    <row r="6" customFormat="false" ht="15" hidden="false" customHeight="false" outlineLevel="0" collapsed="false">
      <c r="B6" s="39" t="s">
        <v>117</v>
      </c>
      <c r="C6" s="40" t="n">
        <v>14</v>
      </c>
      <c r="D6" s="40" t="n">
        <v>16</v>
      </c>
      <c r="E6" s="40" t="n">
        <v>18</v>
      </c>
      <c r="F6" s="40" t="n">
        <v>20</v>
      </c>
      <c r="G6" s="40" t="n">
        <v>22</v>
      </c>
    </row>
    <row r="7" customFormat="false" ht="15" hidden="false" customHeight="false" outlineLevel="0" collapsed="false">
      <c r="B7" s="41" t="n">
        <v>0.105</v>
      </c>
      <c r="C7" s="42" t="n">
        <f aca="false">((DCF!D20/(1+$B7)^1+DCF!E20/(1+$B7)^2+DCF!F20/(1+$B7)^3+DCF!G20/(1+$B7)^4+DCF!H20/(1+$B7)^5+DCF!H13*C$6/(1+$B7)^5)-Assumptions!$C$23-Assumptions!$C$24-Assumptions!$C$27)/Assumptions!$C$14</f>
        <v>126.025176526984</v>
      </c>
      <c r="D7" s="42" t="n">
        <f aca="false">((DCF!D20/(1+$B7)^1+DCF!E20/(1+$B7)^2+DCF!F20/(1+$B7)^3+DCF!G20/(1+$B7)^4+DCF!H20/(1+$B7)^5+DCF!H13*D$6/(1+$B7)^5)-Assumptions!$C$23-Assumptions!$C$24-Assumptions!$C$27)/Assumptions!$C$14</f>
        <v>149.084410652205</v>
      </c>
      <c r="E7" s="42" t="n">
        <f aca="false">((DCF!D20/(1+$B7)^1+DCF!E20/(1+$B7)^2+DCF!F20/(1+$B7)^3+DCF!G20/(1+$B7)^4+DCF!H20/(1+$B7)^5+DCF!H13*E$6/(1+$B7)^5)-Assumptions!$C$23-Assumptions!$C$24-Assumptions!$C$27)/Assumptions!$C$14</f>
        <v>172.143644777426</v>
      </c>
      <c r="F7" s="42" t="n">
        <f aca="false">((DCF!D20/(1+$B7)^1+DCF!E20/(1+$B7)^2+DCF!F20/(1+$B7)^3+DCF!G20/(1+$B7)^4+DCF!H20/(1+$B7)^5+DCF!H13*F$6/(1+$B7)^5)-Assumptions!$C$23-Assumptions!$C$24-Assumptions!$C$27)/Assumptions!$C$14</f>
        <v>195.202878902646</v>
      </c>
      <c r="G7" s="42" t="n">
        <f aca="false">((DCF!D20/(1+$B7)^1+DCF!E20/(1+$B7)^2+DCF!F20/(1+$B7)^3+DCF!G20/(1+$B7)^4+DCF!H20/(1+$B7)^5+DCF!H13*G$6/(1+$B7)^5)-Assumptions!$C$23-Assumptions!$C$24-Assumptions!$C$27)/Assumptions!$C$14</f>
        <v>218.262113027867</v>
      </c>
    </row>
    <row r="8" customFormat="false" ht="15" hidden="false" customHeight="false" outlineLevel="0" collapsed="false">
      <c r="B8" s="41" t="n">
        <v>0.11</v>
      </c>
      <c r="C8" s="42" t="n">
        <f aca="false">((DCF!D20/(1+$B8)^1+DCF!E20/(1+$B8)^2+DCF!F20/(1+$B8)^3+DCF!G20/(1+$B8)^4+DCF!H20/(1+$B8)^5+DCF!H13*C$6/(1+$B8)^5)-Assumptions!$C$23-Assumptions!$C$24-Assumptions!$C$27)/Assumptions!$C$14</f>
        <v>122.001725650634</v>
      </c>
      <c r="D8" s="42" t="n">
        <f aca="false">((DCF!D20/(1+$B8)^1+DCF!E20/(1+$B8)^2+DCF!F20/(1+$B8)^3+DCF!G20/(1+$B8)^4+DCF!H20/(1+$B8)^5+DCF!H13*D$6/(1+$B8)^5)-Assumptions!$C$23-Assumptions!$C$24-Assumptions!$C$27)/Assumptions!$C$14</f>
        <v>144.546265475379</v>
      </c>
      <c r="E8" s="42" t="n">
        <f aca="false">((DCF!D20/(1+$B8)^1+DCF!E20/(1+$B8)^2+DCF!F20/(1+$B8)^3+DCF!G20/(1+$B8)^4+DCF!H20/(1+$B8)^5+DCF!H13*E$6/(1+$B8)^5)-Assumptions!$C$23-Assumptions!$C$24-Assumptions!$C$27)/Assumptions!$C$14</f>
        <v>167.090805300124</v>
      </c>
      <c r="F8" s="42" t="n">
        <f aca="false">((DCF!D20/(1+$B8)^1+DCF!E20/(1+$B8)^2+DCF!F20/(1+$B8)^3+DCF!G20/(1+$B8)^4+DCF!H20/(1+$B8)^5+DCF!H13*F$6/(1+$B8)^5)-Assumptions!$C$23-Assumptions!$C$24-Assumptions!$C$27)/Assumptions!$C$14</f>
        <v>189.635345124868</v>
      </c>
      <c r="G8" s="42" t="n">
        <f aca="false">((DCF!D20/(1+$B8)^1+DCF!E20/(1+$B8)^2+DCF!F20/(1+$B8)^3+DCF!G20/(1+$B8)^4+DCF!H20/(1+$B8)^5+DCF!H13*G$6/(1+$B8)^5)-Assumptions!$C$23-Assumptions!$C$24-Assumptions!$C$27)/Assumptions!$C$14</f>
        <v>212.179884949613</v>
      </c>
    </row>
    <row r="9" customFormat="false" ht="15" hidden="false" customHeight="false" outlineLevel="0" collapsed="false">
      <c r="B9" s="41" t="n">
        <v>0.115</v>
      </c>
      <c r="C9" s="42" t="n">
        <f aca="false">((DCF!D20/(1+$B9)^1+DCF!E20/(1+$B9)^2+DCF!F20/(1+$B9)^3+DCF!G20/(1+$B9)^4+DCF!H20/(1+$B9)^5+DCF!H13*C$6/(1+$B9)^5)-Assumptions!$C$23-Assumptions!$C$24-Assumptions!$C$27)/Assumptions!$C$14</f>
        <v>118.085593956748</v>
      </c>
      <c r="D9" s="42" t="n">
        <f aca="false">((DCF!D20/(1+$B9)^1+DCF!E20/(1+$B9)^2+DCF!F20/(1+$B9)^3+DCF!G20/(1+$B9)^4+DCF!H20/(1+$B9)^5+DCF!H13*D$6/(1+$B9)^5)-Assumptions!$C$23-Assumptions!$C$24-Assumptions!$C$27)/Assumptions!$C$14</f>
        <v>140.129164021242</v>
      </c>
      <c r="E9" s="43" t="n">
        <f aca="false">((DCF!D20/(1+$B9)^1+DCF!E20/(1+$B9)^2+DCF!F20/(1+$B9)^3+DCF!G20/(1+$B9)^4+DCF!H20/(1+$B9)^5+DCF!H13*E$6/(1+$B9)^5)-Assumptions!$C$23-Assumptions!$C$24-Assumptions!$C$27)/Assumptions!$C$14</f>
        <v>162.172734085735</v>
      </c>
      <c r="F9" s="42" t="n">
        <f aca="false">((DCF!D20/(1+$B9)^1+DCF!E20/(1+$B9)^2+DCF!F20/(1+$B9)^3+DCF!G20/(1+$B9)^4+DCF!H20/(1+$B9)^5+DCF!H13*F$6/(1+$B9)^5)-Assumptions!$C$23-Assumptions!$C$24-Assumptions!$C$27)/Assumptions!$C$14</f>
        <v>184.216304150228</v>
      </c>
      <c r="G9" s="42" t="n">
        <f aca="false">((DCF!D20/(1+$B9)^1+DCF!E20/(1+$B9)^2+DCF!F20/(1+$B9)^3+DCF!G20/(1+$B9)^4+DCF!H20/(1+$B9)^5+DCF!H13*G$6/(1+$B9)^5)-Assumptions!$C$23-Assumptions!$C$24-Assumptions!$C$27)/Assumptions!$C$14</f>
        <v>206.259874214722</v>
      </c>
    </row>
    <row r="10" customFormat="false" ht="15" hidden="false" customHeight="false" outlineLevel="0" collapsed="false">
      <c r="B10" s="41" t="n">
        <v>0.12</v>
      </c>
      <c r="C10" s="42" t="n">
        <f aca="false">((DCF!D20/(1+$B10)^1+DCF!E20/(1+$B10)^2+DCF!F20/(1+$B10)^3+DCF!G20/(1+$B10)^4+DCF!H20/(1+$B10)^5+DCF!H13*C$6/(1+$B10)^5)-Assumptions!$C$23-Assumptions!$C$24-Assumptions!$C$27)/Assumptions!$C$14</f>
        <v>114.273472116948</v>
      </c>
      <c r="D10" s="42" t="n">
        <f aca="false">((DCF!D20/(1+$B10)^1+DCF!E20/(1+$B10)^2+DCF!F20/(1+$B10)^3+DCF!G20/(1+$B10)^4+DCF!H20/(1+$B10)^5+DCF!H13*D$6/(1+$B10)^5)-Assumptions!$C$23-Assumptions!$C$24-Assumptions!$C$27)/Assumptions!$C$14</f>
        <v>135.829371887579</v>
      </c>
      <c r="E10" s="42" t="n">
        <f aca="false">((DCF!D20/(1+$B10)^1+DCF!E20/(1+$B10)^2+DCF!F20/(1+$B10)^3+DCF!G20/(1+$B10)^4+DCF!H20/(1+$B10)^5+DCF!H13*E$6/(1+$B10)^5)-Assumptions!$C$23-Assumptions!$C$24-Assumptions!$C$27)/Assumptions!$C$14</f>
        <v>157.385271658209</v>
      </c>
      <c r="F10" s="42" t="n">
        <f aca="false">((DCF!D20/(1+$B10)^1+DCF!E20/(1+$B10)^2+DCF!F20/(1+$B10)^3+DCF!G20/(1+$B10)^4+DCF!H20/(1+$B10)^5+DCF!H13*F$6/(1+$B10)^5)-Assumptions!$C$23-Assumptions!$C$24-Assumptions!$C$27)/Assumptions!$C$14</f>
        <v>178.941171428839</v>
      </c>
      <c r="G10" s="42" t="n">
        <f aca="false">((DCF!D20/(1+$B10)^1+DCF!E20/(1+$B10)^2+DCF!F20/(1+$B10)^3+DCF!G20/(1+$B10)^4+DCF!H20/(1+$B10)^5+DCF!H13*G$6/(1+$B10)^5)-Assumptions!$C$23-Assumptions!$C$24-Assumptions!$C$27)/Assumptions!$C$14</f>
        <v>200.497071199469</v>
      </c>
    </row>
    <row r="11" customFormat="false" ht="15" hidden="false" customHeight="false" outlineLevel="0" collapsed="false">
      <c r="B11" s="41" t="n">
        <v>0.125</v>
      </c>
      <c r="C11" s="42" t="n">
        <f aca="false">((DCF!D20/(1+$B11)^1+DCF!E20/(1+$B11)^2+DCF!F20/(1+$B11)^3+DCF!G20/(1+$B11)^4+DCF!H20/(1+$B11)^5+DCF!H13*C$6/(1+$B11)^5)-Assumptions!$C$23-Assumptions!$C$24-Assumptions!$C$27)/Assumptions!$C$14</f>
        <v>110.562166916557</v>
      </c>
      <c r="D11" s="42" t="n">
        <f aca="false">((DCF!D20/(1+$B11)^1+DCF!E20/(1+$B11)^2+DCF!F20/(1+$B11)^3+DCF!G20/(1+$B11)^4+DCF!H20/(1+$B11)^5+DCF!H13*D$6/(1+$B11)^5)-Assumptions!$C$23-Assumptions!$C$24-Assumptions!$C$27)/Assumptions!$C$14</f>
        <v>131.643285765564</v>
      </c>
      <c r="E11" s="42" t="n">
        <f aca="false">((DCF!D20/(1+$B11)^1+DCF!E20/(1+$B11)^2+DCF!F20/(1+$B11)^3+DCF!G20/(1+$B11)^4+DCF!H20/(1+$B11)^5+DCF!H13*E$6/(1+$B11)^5)-Assumptions!$C$23-Assumptions!$C$24-Assumptions!$C$27)/Assumptions!$C$14</f>
        <v>152.724404614572</v>
      </c>
      <c r="F11" s="42" t="n">
        <f aca="false">((DCF!D20/(1+$B11)^1+DCF!E20/(1+$B11)^2+DCF!F20/(1+$B11)^3+DCF!G20/(1+$B11)^4+DCF!H20/(1+$B11)^5+DCF!H13*F$6/(1+$B11)^5)-Assumptions!$C$23-Assumptions!$C$24-Assumptions!$C$27)/Assumptions!$C$14</f>
        <v>173.805523463579</v>
      </c>
      <c r="G11" s="42" t="n">
        <f aca="false">((DCF!D20/(1+$B11)^1+DCF!E20/(1+$B11)^2+DCF!F20/(1+$B11)^3+DCF!G20/(1+$B11)^4+DCF!H20/(1+$B11)^5+DCF!H13*G$6/(1+$B11)^5)-Assumptions!$C$23-Assumptions!$C$24-Assumptions!$C$27)/Assumptions!$C$14</f>
        <v>194.886642312586</v>
      </c>
    </row>
    <row r="14" customFormat="false" ht="15" hidden="false" customHeight="false" outlineLevel="0" collapsed="false">
      <c r="B14" s="3" t="s">
        <v>118</v>
      </c>
    </row>
    <row r="15" customFormat="false" ht="15" hidden="false" customHeight="false" outlineLevel="0" collapsed="false">
      <c r="B15" s="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5"/>
    <col collapsed="false" customWidth="true" hidden="false" outlineLevel="0" max="5" min="5" style="0" width="52"/>
  </cols>
  <sheetData>
    <row r="2" customFormat="false" ht="17.35" hidden="false" customHeight="false" outlineLevel="0" collapsed="false">
      <c r="B2" s="1" t="s">
        <v>120</v>
      </c>
    </row>
    <row r="3" customFormat="false" ht="15" hidden="false" customHeight="false" outlineLevel="0" collapsed="false">
      <c r="B3" s="2" t="s">
        <v>121</v>
      </c>
    </row>
    <row r="5" customFormat="false" ht="15" hidden="false" customHeight="false" outlineLevel="0" collapsed="false">
      <c r="B5" s="4" t="s">
        <v>122</v>
      </c>
      <c r="C5" s="13" t="s">
        <v>123</v>
      </c>
      <c r="D5" s="13" t="s">
        <v>124</v>
      </c>
    </row>
    <row r="6" customFormat="false" ht="15" hidden="false" customHeight="false" outlineLevel="0" collapsed="false">
      <c r="B6" s="6" t="s">
        <v>125</v>
      </c>
      <c r="C6" s="12" t="n">
        <v>655</v>
      </c>
      <c r="D6" s="11" t="n">
        <f aca="false">C6*4</f>
        <v>2620</v>
      </c>
    </row>
    <row r="7" customFormat="false" ht="15" hidden="false" customHeight="false" outlineLevel="0" collapsed="false">
      <c r="B7" s="6" t="s">
        <v>126</v>
      </c>
      <c r="C7" s="12" t="n">
        <v>4895</v>
      </c>
      <c r="D7" s="11" t="n">
        <f aca="false">C7*4</f>
        <v>19580</v>
      </c>
    </row>
    <row r="8" customFormat="false" ht="15" hidden="false" customHeight="false" outlineLevel="0" collapsed="false">
      <c r="B8" s="6" t="s">
        <v>127</v>
      </c>
      <c r="C8" s="12" t="n">
        <v>4219</v>
      </c>
      <c r="D8" s="11" t="n">
        <f aca="false">C8*4</f>
        <v>16876</v>
      </c>
    </row>
    <row r="9" customFormat="false" ht="15" hidden="false" customHeight="false" outlineLevel="0" collapsed="false">
      <c r="B9" s="6" t="s">
        <v>128</v>
      </c>
      <c r="C9" s="12" t="n">
        <v>774</v>
      </c>
      <c r="D9" s="11" t="n">
        <f aca="false">C9*4</f>
        <v>3096</v>
      </c>
    </row>
    <row r="10" customFormat="false" ht="15" hidden="false" customHeight="false" outlineLevel="0" collapsed="false">
      <c r="B10" s="6" t="s">
        <v>129</v>
      </c>
      <c r="C10" s="12" t="n">
        <v>1414</v>
      </c>
      <c r="D10" s="11" t="n">
        <f aca="false">C10*4</f>
        <v>5656</v>
      </c>
    </row>
    <row r="11" customFormat="false" ht="15" hidden="false" customHeight="false" outlineLevel="0" collapsed="false">
      <c r="B11" s="13" t="s">
        <v>130</v>
      </c>
      <c r="C11" s="28" t="n">
        <f aca="false">SUM(C6:C10)</f>
        <v>11957</v>
      </c>
      <c r="D11" s="28" t="n">
        <f aca="false">SUM(D6:D10)</f>
        <v>47828</v>
      </c>
      <c r="E11" s="3" t="s">
        <v>131</v>
      </c>
    </row>
    <row r="12" customFormat="false" ht="15" hidden="false" customHeight="false" outlineLevel="0" collapsed="false">
      <c r="B12" s="6" t="s">
        <v>132</v>
      </c>
      <c r="C12" s="21" t="n">
        <v>5</v>
      </c>
      <c r="E12" s="3" t="s">
        <v>133</v>
      </c>
    </row>
    <row r="13" customFormat="false" ht="15" hidden="false" customHeight="false" outlineLevel="0" collapsed="false">
      <c r="B13" s="13" t="s">
        <v>134</v>
      </c>
      <c r="C13" s="28" t="n">
        <f aca="false">D11*C12</f>
        <v>239140</v>
      </c>
      <c r="D13" s="25"/>
    </row>
    <row r="15" customFormat="false" ht="15" hidden="false" customHeight="false" outlineLevel="0" collapsed="false">
      <c r="B15" s="4" t="s">
        <v>135</v>
      </c>
    </row>
    <row r="16" customFormat="false" ht="15" hidden="false" customHeight="false" outlineLevel="0" collapsed="false">
      <c r="B16" s="6" t="s">
        <v>136</v>
      </c>
      <c r="C16" s="26" t="n">
        <f aca="false">Assumptions!$C$15+Assumptions!$C$23+Assumptions!$C$24+Assumptions!$C$27</f>
        <v>581509.192</v>
      </c>
      <c r="D16" s="25"/>
    </row>
    <row r="17" customFormat="false" ht="15" hidden="false" customHeight="false" outlineLevel="0" collapsed="false">
      <c r="B17" s="6" t="s">
        <v>137</v>
      </c>
      <c r="C17" s="11" t="n">
        <f aca="false">-C13</f>
        <v>-239140</v>
      </c>
      <c r="D17" s="25"/>
    </row>
    <row r="18" customFormat="false" ht="15" hidden="false" customHeight="false" outlineLevel="0" collapsed="false">
      <c r="B18" s="13" t="s">
        <v>138</v>
      </c>
      <c r="C18" s="44" t="n">
        <f aca="false">C16+C17</f>
        <v>342369.192</v>
      </c>
      <c r="D18" s="25"/>
    </row>
    <row r="20" customFormat="false" ht="15" hidden="false" customHeight="false" outlineLevel="0" collapsed="false">
      <c r="B20" s="4" t="s">
        <v>139</v>
      </c>
    </row>
    <row r="21" customFormat="false" ht="15" hidden="false" customHeight="false" outlineLevel="0" collapsed="false">
      <c r="B21" s="6" t="s">
        <v>140</v>
      </c>
      <c r="C21" s="12" t="n">
        <f aca="false">7388*4</f>
        <v>29552</v>
      </c>
      <c r="D21" s="25"/>
    </row>
    <row r="22" customFormat="false" ht="15" hidden="false" customHeight="false" outlineLevel="0" collapsed="false">
      <c r="B22" s="6" t="s">
        <v>141</v>
      </c>
      <c r="C22" s="45" t="n">
        <f aca="false">C18/C21</f>
        <v>11.5853137520303</v>
      </c>
      <c r="E22" s="3" t="s">
        <v>142</v>
      </c>
    </row>
    <row r="23" customFormat="false" ht="15" hidden="false" customHeight="false" outlineLevel="0" collapsed="false">
      <c r="B23" s="6" t="s">
        <v>143</v>
      </c>
      <c r="C23" s="12" t="n">
        <v>664000</v>
      </c>
      <c r="D23" s="25"/>
      <c r="E23" s="3" t="s">
        <v>144</v>
      </c>
    </row>
    <row r="24" customFormat="false" ht="15" hidden="false" customHeight="false" outlineLevel="0" collapsed="false">
      <c r="B24" s="13" t="s">
        <v>145</v>
      </c>
      <c r="C24" s="38" t="n">
        <f aca="false">C18/C23</f>
        <v>0.515616253012048</v>
      </c>
      <c r="E24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0"/>
  </cols>
  <sheetData>
    <row r="2" customFormat="false" ht="17.35" hidden="false" customHeight="false" outlineLevel="0" collapsed="false">
      <c r="B2" s="1" t="s">
        <v>147</v>
      </c>
    </row>
    <row r="3" customFormat="false" ht="15" hidden="false" customHeight="false" outlineLevel="0" collapsed="false">
      <c r="B3" s="2" t="s">
        <v>148</v>
      </c>
    </row>
    <row r="5" customFormat="false" ht="15" hidden="false" customHeight="false" outlineLevel="0" collapsed="false">
      <c r="B5" s="46" t="s">
        <v>149</v>
      </c>
      <c r="C5" s="46" t="s">
        <v>150</v>
      </c>
      <c r="D5" s="46" t="s">
        <v>151</v>
      </c>
      <c r="E5" s="46" t="s">
        <v>152</v>
      </c>
    </row>
    <row r="6" customFormat="false" ht="15" hidden="false" customHeight="false" outlineLevel="0" collapsed="false">
      <c r="B6" s="6" t="s">
        <v>153</v>
      </c>
      <c r="C6" s="42" t="n">
        <f aca="false">8.1*20</f>
        <v>162</v>
      </c>
      <c r="D6" s="17" t="n">
        <f aca="false">C6/Assumptions!$C$13-1</f>
        <v>0.102040816326531</v>
      </c>
      <c r="E6" s="3" t="s">
        <v>154</v>
      </c>
    </row>
    <row r="7" customFormat="false" ht="15" hidden="false" customHeight="false" outlineLevel="0" collapsed="false">
      <c r="B7" s="6" t="s">
        <v>155</v>
      </c>
      <c r="C7" s="42" t="n">
        <f aca="false">8.1*22</f>
        <v>178.2</v>
      </c>
      <c r="D7" s="17" t="n">
        <f aca="false">C7/Assumptions!$C$13-1</f>
        <v>0.212244897959184</v>
      </c>
      <c r="E7" s="3" t="s">
        <v>156</v>
      </c>
    </row>
    <row r="8" customFormat="false" ht="15" hidden="false" customHeight="false" outlineLevel="0" collapsed="false">
      <c r="B8" s="6" t="s">
        <v>157</v>
      </c>
      <c r="C8" s="37" t="n">
        <f aca="false">DCF!C40</f>
        <v>159.979485658294</v>
      </c>
      <c r="D8" s="17" t="n">
        <f aca="false">C8/Assumptions!$C$13-1</f>
        <v>0.0882958208047189</v>
      </c>
      <c r="E8" s="3" t="s">
        <v>158</v>
      </c>
    </row>
    <row r="9" customFormat="false" ht="15" hidden="false" customHeight="false" outlineLevel="0" collapsed="false">
      <c r="B9" s="6" t="s">
        <v>159</v>
      </c>
      <c r="C9" s="42"/>
      <c r="E9" s="3" t="s">
        <v>160</v>
      </c>
    </row>
    <row r="10" customFormat="false" ht="15" hidden="false" customHeight="false" outlineLevel="0" collapsed="false">
      <c r="B10" s="6" t="s">
        <v>161</v>
      </c>
      <c r="C10" s="9" t="n">
        <v>239</v>
      </c>
      <c r="D10" s="17" t="n">
        <f aca="false">C10/Assumptions!$C$13-1</f>
        <v>0.625850340136055</v>
      </c>
      <c r="E10" s="3" t="s">
        <v>162</v>
      </c>
    </row>
    <row r="11" customFormat="false" ht="15" hidden="false" customHeight="false" outlineLevel="0" collapsed="false">
      <c r="B11" s="13" t="s">
        <v>163</v>
      </c>
      <c r="C11" s="47" t="n">
        <v>170</v>
      </c>
      <c r="D11" s="17" t="n">
        <f aca="false">C11/Assumptions!$C$13-1</f>
        <v>0.156462585034014</v>
      </c>
      <c r="E11" s="3" t="s">
        <v>164</v>
      </c>
    </row>
    <row r="14" customFormat="false" ht="15" hidden="false" customHeight="false" outlineLevel="0" collapsed="false">
      <c r="B14" s="4" t="s">
        <v>165</v>
      </c>
    </row>
    <row r="15" customFormat="false" ht="15" hidden="false" customHeight="false" outlineLevel="0" collapsed="false">
      <c r="B15" s="3" t="s">
        <v>166</v>
      </c>
    </row>
    <row r="16" customFormat="false" ht="15" hidden="false" customHeight="false" outlineLevel="0" collapsed="false">
      <c r="B16" s="3" t="s">
        <v>167</v>
      </c>
    </row>
    <row r="17" customFormat="false" ht="15" hidden="false" customHeight="false" outlineLevel="0" collapsed="false">
      <c r="B17" s="3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2026-09-18T04:58:13Z</dcterms:created>
  <dc:creator>openpyxl</dc:creator>
  <dc:description/>
  <dc:language>en-US</dc:language>
  <cp:lastModifiedBy/>
  <dcterms:modified xsi:type="dcterms:W3CDTF">2026-09-18T04:58:13Z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